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295" yWindow="0" windowWidth="14610" windowHeight="15585" tabRatio="600" firstSheet="0" activeTab="0" autoFilterDateGrouping="1"/>
  </bookViews>
  <sheets>
    <sheet name="Raw Collection" sheetId="1" state="visible" r:id="rId1"/>
    <sheet name="Conversation Threads" sheetId="2" state="visible" r:id="rId2"/>
    <sheet name="Intent Signals Reference" sheetId="3" state="visible" r:id="rId3"/>
    <sheet name="Export Preview" sheetId="4" state="visible" r:id="rId4"/>
    <sheet name="Stats" sheetId="5" state="visible" r:id="rId5"/>
  </sheets>
  <definedNames/>
  <calcPr calcId="19102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FF1E3A5F"/>
      <sz val="13"/>
    </font>
    <font>
      <name val="Arial"/>
      <b val="1"/>
      <color rgb="FFFFFFFF"/>
      <sz val="10"/>
    </font>
    <font>
      <name val="Arial"/>
      <color rgb="FF1E293B"/>
      <sz val="9"/>
    </font>
    <font>
      <name val="Arial"/>
      <b val="1"/>
      <color rgb="FF1E293B"/>
      <sz val="9"/>
    </font>
    <font>
      <name val="Segoe UI Historic"/>
      <family val="2"/>
      <color rgb="FFE2E5E9"/>
      <sz val="11"/>
    </font>
    <font>
      <name val="Arial"/>
      <family val="2"/>
      <color rgb="FF1E293B"/>
      <sz val="9"/>
    </font>
  </fonts>
  <fills count="16">
    <fill>
      <patternFill/>
    </fill>
    <fill>
      <patternFill patternType="gray125"/>
    </fill>
    <fill>
      <patternFill patternType="solid">
        <fgColor rgb="FFDBEAFE"/>
      </patternFill>
    </fill>
    <fill>
      <patternFill patternType="solid">
        <fgColor rgb="FF2563EB"/>
      </patternFill>
    </fill>
    <fill>
      <patternFill patternType="solid">
        <fgColor rgb="FFFFFFFF"/>
      </patternFill>
    </fill>
    <fill>
      <patternFill patternType="solid">
        <fgColor rgb="FFF1F5F9"/>
      </patternFill>
    </fill>
    <fill>
      <patternFill patternType="solid">
        <fgColor rgb="FFE0F2FE"/>
      </patternFill>
    </fill>
    <fill>
      <patternFill patternType="solid">
        <fgColor rgb="FF0369A1"/>
      </patternFill>
    </fill>
    <fill>
      <patternFill patternType="solid">
        <fgColor rgb="FFF3E8FF"/>
      </patternFill>
    </fill>
    <fill>
      <patternFill patternType="solid">
        <fgColor rgb="FF7C3AED"/>
      </patternFill>
    </fill>
    <fill>
      <patternFill patternType="solid">
        <fgColor rgb="FFFEE2E2"/>
      </patternFill>
    </fill>
    <fill>
      <patternFill patternType="solid">
        <fgColor rgb="FFFEF3C7"/>
      </patternFill>
    </fill>
    <fill>
      <patternFill patternType="solid">
        <fgColor rgb="FFEDE9FE"/>
      </patternFill>
    </fill>
    <fill>
      <patternFill patternType="solid">
        <fgColor rgb="FFDCFCE7"/>
      </patternFill>
    </fill>
    <fill>
      <patternFill patternType="solid">
        <fgColor rgb="FFF8FAFC"/>
      </patternFill>
    </fill>
    <fill>
      <patternFill patternType="solid">
        <fgColor rgb="FF16A34A"/>
      </patternFill>
    </fill>
  </fills>
  <borders count="3">
    <border>
      <left/>
      <right/>
      <top/>
      <bottom/>
      <diagonal/>
    </border>
    <border>
      <left style="thin">
        <color rgb="FFCBD5E1"/>
      </left>
      <right style="thin">
        <color rgb="FFCBD5E1"/>
      </right>
      <top style="thin">
        <color rgb="FFCBD5E1"/>
      </top>
      <bottom style="thin">
        <color rgb="FFCBD5E1"/>
      </bottom>
      <diagonal/>
    </border>
    <border>
      <left style="thin">
        <color rgb="FFCBD5E1"/>
      </left>
      <right style="thin">
        <color rgb="FFCBD5E1"/>
      </right>
      <top/>
      <bottom/>
      <diagonal/>
    </border>
  </borders>
  <cellStyleXfs count="1">
    <xf numFmtId="0" fontId="0" fillId="0" borderId="0"/>
  </cellStyleXfs>
  <cellXfs count="44">
    <xf numFmtId="0" fontId="0" fillId="0" borderId="0" pivotButton="0" quotePrefix="0" xfId="0"/>
    <xf numFmtId="0" fontId="2" fillId="3" borderId="1" applyAlignment="1" pivotButton="0" quotePrefix="0" xfId="0">
      <alignment horizontal="center" vertical="center" wrapText="1"/>
    </xf>
    <xf numFmtId="0" fontId="3" fillId="4" borderId="1" applyAlignment="1" pivotButton="0" quotePrefix="0" xfId="0">
      <alignment horizontal="center" vertical="center" wrapText="1"/>
    </xf>
    <xf numFmtId="0" fontId="3" fillId="4" borderId="1" applyAlignment="1" pivotButton="0" quotePrefix="0" xfId="0">
      <alignment horizontal="left" vertical="center" wrapText="1"/>
    </xf>
    <xf numFmtId="0" fontId="3" fillId="5" borderId="1" applyAlignment="1" pivotButton="0" quotePrefix="0" xfId="0">
      <alignment horizontal="center" vertical="center" wrapText="1"/>
    </xf>
    <xf numFmtId="0" fontId="3" fillId="5" borderId="1" applyAlignment="1" pivotButton="0" quotePrefix="0" xfId="0">
      <alignment horizontal="left" vertical="center" wrapText="1"/>
    </xf>
    <xf numFmtId="0" fontId="2" fillId="7" borderId="1" applyAlignment="1" pivotButton="0" quotePrefix="0" xfId="0">
      <alignment horizontal="center" vertical="center" wrapText="1"/>
    </xf>
    <xf numFmtId="0" fontId="2" fillId="9" borderId="1" applyAlignment="1" pivotButton="0" quotePrefix="0" xfId="0">
      <alignment horizontal="center" vertical="center" wrapText="1"/>
    </xf>
    <xf numFmtId="0" fontId="4" fillId="10" borderId="1" applyAlignment="1" pivotButton="0" quotePrefix="0" xfId="0">
      <alignment horizontal="left" vertical="center" wrapText="1"/>
    </xf>
    <xf numFmtId="0" fontId="3" fillId="10" borderId="1" applyAlignment="1" pivotButton="0" quotePrefix="0" xfId="0">
      <alignment horizontal="center" vertical="center" wrapText="1"/>
    </xf>
    <xf numFmtId="0" fontId="3" fillId="10" borderId="1" applyAlignment="1" pivotButton="0" quotePrefix="0" xfId="0">
      <alignment horizontal="left" vertical="center" wrapText="1"/>
    </xf>
    <xf numFmtId="0" fontId="4" fillId="11" borderId="1" applyAlignment="1" pivotButton="0" quotePrefix="0" xfId="0">
      <alignment horizontal="left" vertical="center" wrapText="1"/>
    </xf>
    <xf numFmtId="0" fontId="3" fillId="11" borderId="1" applyAlignment="1" pivotButton="0" quotePrefix="0" xfId="0">
      <alignment horizontal="center" vertical="center" wrapText="1"/>
    </xf>
    <xf numFmtId="0" fontId="3" fillId="11" borderId="1" applyAlignment="1" pivotButton="0" quotePrefix="0" xfId="0">
      <alignment horizontal="left" vertical="center" wrapText="1"/>
    </xf>
    <xf numFmtId="0" fontId="4" fillId="12" borderId="1" applyAlignment="1" pivotButton="0" quotePrefix="0" xfId="0">
      <alignment horizontal="left" vertical="center" wrapText="1"/>
    </xf>
    <xf numFmtId="0" fontId="3" fillId="12" borderId="1" applyAlignment="1" pivotButton="0" quotePrefix="0" xfId="0">
      <alignment horizontal="center" vertical="center" wrapText="1"/>
    </xf>
    <xf numFmtId="0" fontId="3" fillId="12" borderId="1" applyAlignment="1" pivotButton="0" quotePrefix="0" xfId="0">
      <alignment horizontal="left" vertical="center" wrapText="1"/>
    </xf>
    <xf numFmtId="0" fontId="4" fillId="2" borderId="1" applyAlignment="1" pivotButton="0" quotePrefix="0" xfId="0">
      <alignment horizontal="lef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4" fillId="13" borderId="1" applyAlignment="1" pivotButton="0" quotePrefix="0" xfId="0">
      <alignment horizontal="left" vertical="center" wrapText="1"/>
    </xf>
    <xf numFmtId="0" fontId="3" fillId="13" borderId="1" applyAlignment="1" pivotButton="0" quotePrefix="0" xfId="0">
      <alignment horizontal="center" vertical="center" wrapText="1"/>
    </xf>
    <xf numFmtId="0" fontId="3" fillId="13" borderId="1" applyAlignment="1" pivotButton="0" quotePrefix="0" xfId="0">
      <alignment horizontal="left" vertical="center" wrapText="1"/>
    </xf>
    <xf numFmtId="0" fontId="4" fillId="14" borderId="1" applyAlignment="1" pivotButton="0" quotePrefix="0" xfId="0">
      <alignment horizontal="left" vertical="center" wrapText="1"/>
    </xf>
    <xf numFmtId="0" fontId="3" fillId="14" borderId="1" applyAlignment="1" pivotButton="0" quotePrefix="0" xfId="0">
      <alignment horizontal="center" vertical="center" wrapText="1"/>
    </xf>
    <xf numFmtId="0" fontId="3" fillId="14" borderId="1" applyAlignment="1" pivotButton="0" quotePrefix="0" xfId="0">
      <alignment horizontal="left" vertical="center" wrapText="1"/>
    </xf>
    <xf numFmtId="0" fontId="2" fillId="15" borderId="1" applyAlignment="1" pivotButton="0" quotePrefix="0" xfId="0">
      <alignment horizontal="center" vertical="center" wrapText="1"/>
    </xf>
    <xf numFmtId="0" fontId="4" fillId="4" borderId="1" applyAlignment="1" pivotButton="0" quotePrefix="0" xfId="0">
      <alignment horizontal="left" vertical="center" wrapText="1"/>
    </xf>
    <xf numFmtId="0" fontId="4" fillId="5" borderId="1" applyAlignment="1" pivotButton="0" quotePrefix="0" xfId="0">
      <alignment horizontal="left" vertical="center" wrapText="1"/>
    </xf>
    <xf numFmtId="0" fontId="4" fillId="2" borderId="1" applyAlignment="1" pivotButton="0" quotePrefix="0" xfId="0">
      <alignment horizontal="center" vertical="center" wrapText="1"/>
    </xf>
    <xf numFmtId="0" fontId="1" fillId="2" borderId="0" applyAlignment="1" pivotButton="0" quotePrefix="0" xfId="0">
      <alignment horizontal="center" vertical="center" wrapText="1"/>
    </xf>
    <xf numFmtId="0" fontId="0" fillId="0" borderId="0" pivotButton="0" quotePrefix="0" xfId="0"/>
    <xf numFmtId="0" fontId="1" fillId="6" borderId="0" applyAlignment="1" pivotButton="0" quotePrefix="0" xfId="0">
      <alignment horizontal="center" vertical="center" wrapText="1"/>
    </xf>
    <xf numFmtId="0" fontId="1" fillId="8" borderId="0" applyAlignment="1" pivotButton="0" quotePrefix="0" xfId="0">
      <alignment horizontal="center" vertical="center" wrapText="1"/>
    </xf>
    <xf numFmtId="0" fontId="1" fillId="13" borderId="0" applyAlignment="1" pivotButton="0" quotePrefix="0" xfId="0">
      <alignment horizontal="center" vertical="center" wrapText="1"/>
    </xf>
    <xf numFmtId="0" fontId="3" fillId="5" borderId="2" applyAlignment="1" pivotButton="0" quotePrefix="0" xfId="0">
      <alignment horizontal="center" vertical="center" wrapText="1"/>
    </xf>
    <xf numFmtId="0" fontId="3" fillId="5" borderId="2" applyAlignment="1" pivotButton="0" quotePrefix="0" xfId="0">
      <alignment horizontal="left" vertical="center" wrapText="1"/>
    </xf>
    <xf numFmtId="0" fontId="3" fillId="4" borderId="2" applyAlignment="1" pivotButton="0" quotePrefix="0" xfId="0">
      <alignment horizontal="left" vertical="center" wrapText="1"/>
    </xf>
    <xf numFmtId="0" fontId="3" fillId="4" borderId="2" applyAlignment="1" pivotButton="0" quotePrefix="0" xfId="0">
      <alignment horizontal="center" vertical="center" wrapText="1"/>
    </xf>
    <xf numFmtId="0" fontId="5" fillId="0" borderId="0" pivotButton="0" quotePrefix="0" xfId="0"/>
    <xf numFmtId="0" fontId="6" fillId="5" borderId="2" applyAlignment="1" pivotButton="0" quotePrefix="0" xfId="0">
      <alignment horizontal="center" vertical="center" wrapText="1"/>
    </xf>
    <xf numFmtId="0" fontId="6" fillId="4" borderId="2" applyAlignment="1" pivotButton="0" quotePrefix="0" xfId="0">
      <alignment horizontal="center" vertical="center" wrapText="1"/>
    </xf>
    <xf numFmtId="0" fontId="5" fillId="0" borderId="0" applyAlignment="1" pivotButton="0" quotePrefix="0" xfId="0">
      <alignment vertical="center"/>
    </xf>
    <xf numFmtId="0" fontId="5" fillId="0" borderId="0" applyAlignment="1" pivotButton="0" quotePrefix="0" xfId="0">
      <alignment vertical="center"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FF2563EB"/>
    <outlinePr summaryBelow="1" summaryRight="1"/>
    <pageSetUpPr/>
  </sheetPr>
  <dimension ref="A1:M20"/>
  <sheetViews>
    <sheetView showGridLines="0" tabSelected="1" workbookViewId="0">
      <pane ySplit="2" topLeftCell="A3" activePane="bottomLeft" state="frozen"/>
      <selection pane="bottomLeft" activeCell="C14" sqref="C14"/>
    </sheetView>
  </sheetViews>
  <sheetFormatPr baseColWidth="10" defaultColWidth="9.140625" defaultRowHeight="15"/>
  <cols>
    <col width="6" customWidth="1" style="31" min="1" max="1"/>
    <col width="14" customWidth="1" style="31" min="2" max="2"/>
    <col width="20" customWidth="1" style="31" min="3" max="3"/>
    <col width="16" customWidth="1" style="31" min="4" max="4"/>
    <col width="40" customWidth="1" style="31" min="5" max="5"/>
    <col width="28" customWidth="1" style="31" min="6" max="6"/>
    <col width="32" customWidth="1" style="31" min="7" max="7"/>
    <col width="18" customWidth="1" style="31" min="8" max="8"/>
    <col width="28" customWidth="1" style="31" min="9" max="10"/>
    <col width="16" customWidth="1" style="31" min="11" max="11"/>
    <col width="10" customWidth="1" style="31" min="12" max="12"/>
  </cols>
  <sheetData>
    <row r="1" ht="30" customHeight="1" s="31">
      <c r="A1" s="30" t="inlineStr">
        <is>
          <t>🇹🇳  Tunisian Darija NLP Database — Raw Collection</t>
        </is>
      </c>
    </row>
    <row r="2" ht="21.95" customHeight="1" s="31">
      <c r="A2" s="1" t="inlineStr">
        <is>
          <t>id</t>
        </is>
      </c>
      <c r="B2" s="1" t="inlineStr">
        <is>
          <t>source_platform</t>
        </is>
      </c>
      <c r="C2" s="1" t="inlineStr">
        <is>
          <t>source_page</t>
        </is>
      </c>
      <c r="D2" s="1" t="inlineStr">
        <is>
          <t>subject</t>
        </is>
      </c>
      <c r="E2" s="1" t="inlineStr">
        <is>
          <t>raw_comment</t>
        </is>
      </c>
      <c r="F2" s="1" t="inlineStr">
        <is>
          <t>darija_arabizi</t>
        </is>
      </c>
      <c r="G2" s="1" t="inlineStr">
        <is>
          <t>variants</t>
        </is>
      </c>
      <c r="H2" s="1" t="inlineStr">
        <is>
          <t>intent_category</t>
        </is>
      </c>
      <c r="I2" s="1" t="inlineStr">
        <is>
          <t>english_meaning</t>
        </is>
      </c>
      <c r="J2" s="1" t="inlineStr">
        <is>
          <t>french_meaning</t>
        </is>
      </c>
      <c r="K2" s="1" t="inlineStr">
        <is>
          <t>aggression_level</t>
        </is>
      </c>
      <c r="L2" s="1" t="inlineStr">
        <is>
          <t>validated</t>
        </is>
      </c>
      <c r="M2" t="inlineStr">
        <is>
          <t>api_raw_response</t>
        </is>
      </c>
    </row>
    <row r="3" ht="24" customHeight="1" s="31">
      <c r="A3" s="2" t="n">
        <v>1</v>
      </c>
      <c r="B3" s="3" t="inlineStr">
        <is>
          <t>Facebook</t>
        </is>
      </c>
      <c r="C3" s="3" t="inlineStr">
        <is>
          <t>Mosaique FM</t>
        </is>
      </c>
      <c r="D3" s="3" t="inlineStr">
        <is>
          <t>tech</t>
        </is>
      </c>
      <c r="E3" s="3" t="inlineStr">
        <is>
          <t>ya5i fech te7ki 5arreeff barcha</t>
        </is>
      </c>
      <c r="F3" s="3" t="inlineStr">
        <is>
          <t>ya5i fech te7ki 5arreeff</t>
        </is>
      </c>
      <c r="G3" s="3" t="inlineStr">
        <is>
          <t>ya khi fech te7ki, ya5i chnou hethi, 5arif</t>
        </is>
      </c>
      <c r="H3" s="2" t="inlineStr">
        <is>
          <t>hallucination</t>
        </is>
      </c>
      <c r="I3" s="3" t="inlineStr">
        <is>
          <t>bro what are you saying you're off topic</t>
        </is>
      </c>
      <c r="J3" s="3" t="inlineStr">
        <is>
          <t>frere de quoi tu parles t'es hors sujet</t>
        </is>
      </c>
      <c r="K3" s="2" t="inlineStr">
        <is>
          <t>frustrated</t>
        </is>
      </c>
      <c r="L3" s="2" t="inlineStr">
        <is>
          <t>yes</t>
        </is>
      </c>
    </row>
    <row r="4" ht="24" customHeight="1" s="31">
      <c r="A4" s="4" t="n">
        <v>2</v>
      </c>
      <c r="B4" s="5" t="inlineStr">
        <is>
          <t>Facebook</t>
        </is>
      </c>
      <c r="C4" s="5" t="inlineStr">
        <is>
          <t>Espérance ST</t>
        </is>
      </c>
      <c r="D4" s="5" t="inlineStr">
        <is>
          <t>sports</t>
        </is>
      </c>
      <c r="E4" s="5" t="inlineStr">
        <is>
          <t>sa7it fhemtk !! jawk behi</t>
        </is>
      </c>
      <c r="F4" s="5" t="inlineStr">
        <is>
          <t>sa7it fhemtk</t>
        </is>
      </c>
      <c r="G4" s="5" t="inlineStr">
        <is>
          <t>sa7et fhemtek, fhimt, jawk bhi</t>
        </is>
      </c>
      <c r="H4" s="4" t="inlineStr">
        <is>
          <t>understood</t>
        </is>
      </c>
      <c r="I4" s="5" t="inlineStr">
        <is>
          <t>correct I understood you, your answer was good</t>
        </is>
      </c>
      <c r="J4" s="5" t="inlineStr">
        <is>
          <t>correct je t'ai compris, ta réponse était bonne</t>
        </is>
      </c>
      <c r="K4" s="4" t="inlineStr">
        <is>
          <t>positive</t>
        </is>
      </c>
      <c r="L4" s="4" t="inlineStr">
        <is>
          <t>yes</t>
        </is>
      </c>
    </row>
    <row r="5" ht="36" customHeight="1" s="31">
      <c r="A5" s="2" t="n">
        <v>3</v>
      </c>
      <c r="B5" s="3" t="inlineStr">
        <is>
          <t>YouTube</t>
        </is>
      </c>
      <c r="C5" s="3" t="inlineStr">
        <is>
          <t>Tunisian Tech</t>
        </is>
      </c>
      <c r="D5" s="3" t="inlineStr">
        <is>
          <t>tech</t>
        </is>
      </c>
      <c r="E5" s="3" t="inlineStr">
        <is>
          <t>mafhemt chy zid fassarly bisyassa a3tini example</t>
        </is>
      </c>
      <c r="F5" s="3" t="inlineStr">
        <is>
          <t>mafhemt chy zid fassarly bisyassa</t>
        </is>
      </c>
      <c r="G5" s="3" t="inlineStr">
        <is>
          <t>mafhamtch, mafhemtch, zid fesarly, fassarly bisyassa</t>
        </is>
      </c>
      <c r="H5" s="2" t="inlineStr">
        <is>
          <t>confusion</t>
        </is>
      </c>
      <c r="I5" s="3" t="inlineStr">
        <is>
          <t>I didn't understand anything explain slowly give me an example</t>
        </is>
      </c>
      <c r="J5" s="3" t="inlineStr">
        <is>
          <t>j'ai rien compris explique doucement donne moi un exemple</t>
        </is>
      </c>
      <c r="K5" s="2" t="inlineStr">
        <is>
          <t>neutral</t>
        </is>
      </c>
      <c r="L5" s="2" t="inlineStr">
        <is>
          <t>yes</t>
        </is>
      </c>
    </row>
    <row r="6" ht="24" customHeight="1" s="31">
      <c r="A6" s="4" t="n">
        <v>4</v>
      </c>
      <c r="B6" s="5" t="inlineStr">
        <is>
          <t>Facebook</t>
        </is>
      </c>
      <c r="C6" s="5" t="inlineStr">
        <is>
          <t>Club Africain</t>
        </is>
      </c>
      <c r="D6" s="5" t="inlineStr">
        <is>
          <t>sports</t>
        </is>
      </c>
      <c r="E6" s="5" t="inlineStr">
        <is>
          <t>mouch hakka wala mouch kk 3awed miloul</t>
        </is>
      </c>
      <c r="F6" s="5" t="inlineStr">
        <is>
          <t>mouch hakka 3awed miloul</t>
        </is>
      </c>
      <c r="G6" s="5" t="inlineStr">
        <is>
          <t>mouchhakka, moch kk, 3awed meloul</t>
        </is>
      </c>
      <c r="H6" s="4" t="inlineStr">
        <is>
          <t>wrong_answer</t>
        </is>
      </c>
      <c r="I6" s="5" t="inlineStr">
        <is>
          <t>that's not right repeat from the beginning</t>
        </is>
      </c>
      <c r="J6" s="5" t="inlineStr">
        <is>
          <t>c'est pas ça répète depuis le début</t>
        </is>
      </c>
      <c r="K6" s="4" t="inlineStr">
        <is>
          <t>frustrated</t>
        </is>
      </c>
      <c r="L6" s="4" t="inlineStr">
        <is>
          <t>yes</t>
        </is>
      </c>
    </row>
    <row r="7" ht="24" customHeight="1" s="31">
      <c r="A7" s="2" t="n">
        <v>5</v>
      </c>
      <c r="B7" s="3" t="inlineStr">
        <is>
          <t>Reddit</t>
        </is>
      </c>
      <c r="C7" s="3" t="inlineStr">
        <is>
          <t>r/Tunisia</t>
        </is>
      </c>
      <c r="D7" s="3" t="inlineStr">
        <is>
          <t>daily_life</t>
        </is>
      </c>
      <c r="E7" s="3" t="inlineStr">
        <is>
          <t>ayast moi la3alayna ouh 3lik ouh</t>
        </is>
      </c>
      <c r="F7" s="3" t="inlineStr">
        <is>
          <t>ayast moi la3alayna</t>
        </is>
      </c>
      <c r="G7" s="3" t="inlineStr">
        <is>
          <t>ayest, iyest, la3lina, ou3lik</t>
        </is>
      </c>
      <c r="H7" s="2" t="inlineStr">
        <is>
          <t>giving_up</t>
        </is>
      </c>
      <c r="I7" s="3" t="inlineStr">
        <is>
          <t>I'm done whatever forget it</t>
        </is>
      </c>
      <c r="J7" s="3" t="inlineStr">
        <is>
          <t>j'en peux plus c'est bon laisse tomber</t>
        </is>
      </c>
      <c r="K7" s="2" t="inlineStr">
        <is>
          <t>aggressive</t>
        </is>
      </c>
      <c r="L7" s="2" t="inlineStr">
        <is>
          <t>yes</t>
        </is>
      </c>
    </row>
    <row r="8">
      <c r="A8" s="35" t="n">
        <v>6</v>
      </c>
      <c r="B8" s="36" t="inlineStr">
        <is>
          <t>null</t>
        </is>
      </c>
      <c r="C8" s="36" t="inlineStr">
        <is>
          <t>null</t>
        </is>
      </c>
      <c r="D8" s="36" t="inlineStr">
        <is>
          <t>daily_life</t>
        </is>
      </c>
      <c r="E8" s="36" t="inlineStr">
        <is>
          <t>3leh 3malt kk?aleh aamalt haka</t>
        </is>
      </c>
      <c r="F8" t="inlineStr">
        <is>
          <t>3leh 3malt</t>
        </is>
      </c>
      <c r="G8" t="inlineStr">
        <is>
          <t>3leh 3amalt, leh 3amalt, leh 3malt</t>
        </is>
      </c>
      <c r="H8" t="inlineStr">
        <is>
          <t>confusion</t>
        </is>
      </c>
      <c r="I8" t="inlineStr">
        <is>
          <t>Why did you do this?</t>
        </is>
      </c>
      <c r="J8" t="inlineStr">
        <is>
          <t>Pourquoi as-tu fait cela?</t>
        </is>
      </c>
      <c r="K8" t="inlineStr">
        <is>
          <t>frustrated</t>
        </is>
      </c>
      <c r="L8" t="inlineStr">
        <is>
          <t>yes</t>
        </is>
      </c>
    </row>
    <row r="9">
      <c r="A9" s="38" t="n">
        <v>7</v>
      </c>
      <c r="D9" t="inlineStr">
        <is>
          <t>daily_life</t>
        </is>
      </c>
      <c r="E9" s="37" t="inlineStr">
        <is>
          <t xml:space="preserve">hethaka 3leh </t>
        </is>
      </c>
      <c r="F9" t="inlineStr">
        <is>
          <t>hetha 3leh</t>
        </is>
      </c>
      <c r="G9" t="inlineStr">
        <is>
          <t>hithak 3leh, hethak 3leh, hithaka 3leh</t>
        </is>
      </c>
      <c r="H9" t="inlineStr">
        <is>
          <t>confusion</t>
        </is>
      </c>
      <c r="I9" t="inlineStr">
        <is>
          <t>what's going on with him</t>
        </is>
      </c>
      <c r="J9" t="inlineStr">
        <is>
          <t>qu'est-ce qui se passe avec lui</t>
        </is>
      </c>
      <c r="K9" t="inlineStr">
        <is>
          <t>neutral</t>
        </is>
      </c>
      <c r="L9" t="inlineStr">
        <is>
          <t>yes</t>
        </is>
      </c>
    </row>
    <row r="10">
      <c r="A10" s="40" t="n">
        <v>8</v>
      </c>
      <c r="E10" s="36" t="inlineStr">
        <is>
          <t>tefhem fia? ,tifhim fia? ,fhemt ?</t>
        </is>
      </c>
      <c r="F10" t="inlineStr">
        <is>
          <t>fhemt</t>
        </is>
      </c>
      <c r="G10" t="inlineStr">
        <is>
          <t>tefhem fia, tifhim fia, fhemt, tfhem, fhamt</t>
        </is>
      </c>
      <c r="H10" t="inlineStr">
        <is>
          <t>confusion</t>
        </is>
      </c>
      <c r="I10" t="inlineStr">
        <is>
          <t>do you understand?</t>
        </is>
      </c>
      <c r="J10" t="inlineStr">
        <is>
          <t>est-ce que vous comprenez?</t>
        </is>
      </c>
      <c r="K10" t="inlineStr">
        <is>
          <t>neutral</t>
        </is>
      </c>
      <c r="L10" t="inlineStr">
        <is>
          <t>yes</t>
        </is>
      </c>
    </row>
    <row r="11" ht="16.5" customHeight="1" s="31">
      <c r="A11" s="41" t="n">
        <v>9</v>
      </c>
      <c r="E11" s="39" t="inlineStr">
        <is>
          <t>Bonsoir , aandi question concernant le scrapping, par exemple ena aandi data concernant des patients, déjà fournies par l'entreprise ( pour un projet BI). Sauf que la data hedhi elle n'est pas suffisante pour mes analyses, c'est pour ça n7eb j'ai pensé au scrapping. ena nzid aalihom par exemple colonne "symptomes" , bon ena débutante fel DS, ama menaarefesh comment je peux joindre l'id du patient wel symptomes vu que les symptomes que je vais apporter ne sont pas les forcément les symptomes des malades de mon dataset. Merci d'avance</t>
        </is>
      </c>
      <c r="F11" t="inlineStr">
        <is>
          <t>n7eb nzid data</t>
        </is>
      </c>
      <c r="G11" t="inlineStr">
        <is>
          <t>nheb, nzid, n7ib, nhib</t>
        </is>
      </c>
      <c r="H11" t="inlineStr">
        <is>
          <t>simplify</t>
        </is>
      </c>
      <c r="I11" t="inlineStr">
        <is>
          <t>I want to add data</t>
        </is>
      </c>
      <c r="J11" t="inlineStr">
        <is>
          <t>Je veux ajouter des données</t>
        </is>
      </c>
      <c r="K11" t="inlineStr">
        <is>
          <t>neutral</t>
        </is>
      </c>
      <c r="L11" t="inlineStr">
        <is>
          <t>review</t>
        </is>
      </c>
    </row>
    <row r="12">
      <c r="A12" s="40" t="n">
        <v>10</v>
      </c>
      <c r="E12" t="inlineStr">
        <is>
          <t>Hello guys .. chnouwa parcours académique bech ta9ra AI f tunis</t>
        </is>
      </c>
      <c r="F12" t="inlineStr">
        <is>
          <t>chnouwa parcours académique bech ta9ra AI f tunis</t>
        </is>
      </c>
      <c r="G12" t="inlineStr">
        <is>
          <t>chnouwa, shnouwa, chnoua, shnoua</t>
        </is>
      </c>
      <c r="H12" t="inlineStr">
        <is>
          <t>confusion</t>
        </is>
      </c>
      <c r="I12" t="inlineStr">
        <is>
          <t>What is the academic path to learn AI in Tunisia</t>
        </is>
      </c>
      <c r="J12" t="inlineStr">
        <is>
          <t>Quel est le parcours académique pour apprendre l'IA en Tunisie</t>
        </is>
      </c>
      <c r="K12" t="inlineStr">
        <is>
          <t>neutral</t>
        </is>
      </c>
      <c r="L12" t="inlineStr">
        <is>
          <t>yes</t>
        </is>
      </c>
    </row>
    <row r="13" ht="16.5" customHeight="1" s="31">
      <c r="A13" s="41" t="n">
        <v>11</v>
      </c>
      <c r="E13" s="42" t="inlineStr">
        <is>
          <t>blhy ena andii projet : la mise en place d’un robot de surveillance autonome basé sur « MACHINE LEARNING ».</t>
        </is>
      </c>
      <c r="F13" t="inlineStr">
        <is>
          <t>blhy ena andii projet</t>
        </is>
      </c>
      <c r="G13" t="inlineStr">
        <is>
          <t>blahi, bl7y, bly, blhy</t>
        </is>
      </c>
      <c r="H13" t="inlineStr">
        <is>
          <t>other</t>
        </is>
      </c>
      <c r="I13" t="inlineStr">
        <is>
          <t>My project is</t>
        </is>
      </c>
      <c r="J13" t="inlineStr">
        <is>
          <t>Mon projet est</t>
        </is>
      </c>
      <c r="K13" t="inlineStr">
        <is>
          <t>neutral</t>
        </is>
      </c>
      <c r="L13" t="inlineStr">
        <is>
          <t>review</t>
        </is>
      </c>
    </row>
    <row r="14" ht="409.5" customHeight="1" s="31">
      <c r="A14" s="40" t="n">
        <v>12</v>
      </c>
      <c r="E14" s="43" t="inlineStr">
        <is>
          <t>fih u انت قاعد تخدم في امان الله في machine learning مش تلقى حد يقلك عملت estimation parameters   بالباهي و الا عملت cross validation data.
اول ما تشوف المصطلحات هذي مش تدخل بعضك و تقول شنوة هذا !عمري لا شوفتها كي بديت نتعلم و ترجع تتعلم ML من الأول املا في انك تلقى هذي المصطلحات و تدخل في متاهة😔.
متخافش😊
كي تشوف كلمة estimation فمعناها training لبيانات التدريب اللي مش تعملها يعني هل تدربت البيانات و الا لا اي صار training و الا لا.
هاي طلعت ساهلة مش صعيبة😁
اجا  نحكو شوية عالvalidation و الي معناها  test data 
بيانات الاختبار اللي تتاكد من خلالها انو المودال "model" مناسب للdata متاعك و الا لا و هل تعلم مليح ولا
اجا نحكو شوي على cross validation
Cross validation
 هي تقسيم الdata  لtraining و test و من خلالها مش تنجم تعرف عدد التنبؤات الصحيحة اللي عملها مقارنة لعدد الاخطاء و من خلال نسبة التوقعات الصحيحة للتوقعات الغالطة نجمو نحددوا احنا احسن algorithme مش اناسب البيانات متاعك.n système de détection et de Reconnaissance des objets , un système de reconnaissance faciale ,et un système de reconnaissance de mouvement et de voix.</t>
        </is>
      </c>
      <c r="F14" t="inlineStr">
        <is>
          <t>fih u انت قاعد تخدم في امان الله في machine learning</t>
        </is>
      </c>
      <c r="G14" t="inlineStr">
        <is>
          <t>fih u anta qa3ed tkhadem fi iman allah fi machine learning, fih u انت قاعد تخدم في امان الله في ml</t>
        </is>
      </c>
      <c r="H14" t="inlineStr">
        <is>
          <t>simplify</t>
        </is>
      </c>
      <c r="I14" t="inlineStr">
        <is>
          <t>You're working on machine learning, but you don't understand estimation parameters and cross validation data</t>
        </is>
      </c>
      <c r="J14" t="inlineStr">
        <is>
          <t>Vous travaillez sur l'apprentissage automatique, mais vous ne comprenez pas les paramètres d'estimation et les données de validation croisée</t>
        </is>
      </c>
      <c r="K14" t="inlineStr">
        <is>
          <t>polite</t>
        </is>
      </c>
      <c r="L14" t="inlineStr">
        <is>
          <t>yes</t>
        </is>
      </c>
    </row>
    <row r="15" ht="16.5" customHeight="1" s="31">
      <c r="A15" s="41" t="n">
        <v>13</v>
      </c>
      <c r="E15" s="42" t="inlineStr">
        <is>
          <t xml:space="preserve">blhy eli 5dem haja kima hedhi w andou rapport kima haka yab3thly et merci beaucoup </t>
        </is>
      </c>
      <c r="F15" t="inlineStr">
        <is>
          <t>blhy eli 5dem haja kima hedhi</t>
        </is>
      </c>
      <c r="G15" t="inlineStr">
        <is>
          <t>blhy eli khadem haja kima hadi, blhy ely 5dem haja kima hedi</t>
        </is>
      </c>
      <c r="H15" t="inlineStr">
        <is>
          <t>understood</t>
        </is>
      </c>
      <c r="I15" t="inlineStr">
        <is>
          <t>I'm telling you something like this and I'm giving you a report like this, thank you very much</t>
        </is>
      </c>
      <c r="J15" t="inlineStr">
        <is>
          <t>Je vous dis quelque chose comme ça et je vous donne un rapport comme ça, merci beaucoup</t>
        </is>
      </c>
      <c r="K15" t="inlineStr">
        <is>
          <t>polite</t>
        </is>
      </c>
      <c r="L15" t="inlineStr">
        <is>
          <t>yes</t>
        </is>
      </c>
    </row>
    <row r="16" ht="16.5" customHeight="1" s="31">
      <c r="A16" s="40" t="n">
        <v>14</v>
      </c>
      <c r="E16" s="39" t="inlineStr">
        <is>
          <t>Cross training maho kimaa esiiir fil edge impulse bedhabet heka walla ?</t>
        </is>
      </c>
      <c r="F16" t="inlineStr">
        <is>
          <t>maho kimaa esiiir</t>
        </is>
      </c>
      <c r="G16" t="inlineStr">
        <is>
          <t>maho kima esir, mahou kima esir, maho kimaa asir</t>
        </is>
      </c>
      <c r="H16" t="inlineStr">
        <is>
          <t>confusion</t>
        </is>
      </c>
      <c r="I16" t="inlineStr">
        <is>
          <t>What's the benefit of this?</t>
        </is>
      </c>
      <c r="J16" t="inlineStr">
        <is>
          <t>Quel est l'avantage de cela ?</t>
        </is>
      </c>
      <c r="K16" t="inlineStr">
        <is>
          <t>neutral</t>
        </is>
      </c>
      <c r="L16" t="inlineStr">
        <is>
          <t>review</t>
        </is>
      </c>
    </row>
    <row r="17" ht="16.5" customHeight="1" s="31">
      <c r="A17" s="41" t="n">
        <v>15</v>
      </c>
      <c r="E17" s="39" t="inlineStr">
        <is>
          <t>edge impulse hiya plateforme ta3tik interface mch inti tikhdem from scratch ama akid models mta3ha fihom cross</t>
        </is>
      </c>
      <c r="F17" t="inlineStr">
        <is>
          <t>edge impulse hiya plateforme ta3tik</t>
        </is>
      </c>
      <c r="G17" t="inlineStr">
        <is>
          <t>edge impulse, edgeimpulse, edge impulse hiya, edgeimpulse hiya</t>
        </is>
      </c>
      <c r="H17" t="inlineStr">
        <is>
          <t>understood</t>
        </is>
      </c>
      <c r="I17" t="inlineStr">
        <is>
          <t>Edge Impulse is a platform with a nice interface</t>
        </is>
      </c>
      <c r="J17" t="inlineStr">
        <is>
          <t>Edge Impulse est une plateforme avec une interface agréable</t>
        </is>
      </c>
      <c r="K17" t="inlineStr">
        <is>
          <t>neutral</t>
        </is>
      </c>
      <c r="L17" t="inlineStr">
        <is>
          <t>yes</t>
        </is>
      </c>
    </row>
    <row r="18" ht="16.5" customHeight="1" s="31">
      <c r="E18" s="42" t="inlineStr">
        <is>
          <t>اكثر فيديو ينجم يفسرلك كيفاش تتعلم... حكى كيفاش في 9 شهر تعلم ذاتي وصل توظف في خدمة ... وقت اللي الأغلب يبقو يقرو سنين باش يوصلو للخدمة هاكي ..</t>
        </is>
      </c>
      <c r="F18" t="inlineStr">
        <is>
          <t>akthar video yenjem yfeserlek kifach tta3lem</t>
        </is>
      </c>
      <c r="G18" t="inlineStr">
        <is>
          <t>akthar, akther, aktar, kifash, kifaach, kifach</t>
        </is>
      </c>
      <c r="H18" t="inlineStr">
        <is>
          <t>encouragement</t>
        </is>
      </c>
      <c r="I18" t="inlineStr">
        <is>
          <t>most videos can explain to you how to learn... he explained how in 9 months of self-learning he got a job in the service... while most people spend years to get to the service</t>
        </is>
      </c>
      <c r="J18" t="inlineStr">
        <is>
          <t>la plupart des vidéos peuvent vous expliquer comment apprendre... il a expliqué comment en 9 mois d'apprentissage autodidacte il a obtenu un emploi dans le service... alors que la plupart des gens passent des années pour arriver au service</t>
        </is>
      </c>
      <c r="K18" t="inlineStr">
        <is>
          <t>positive</t>
        </is>
      </c>
      <c r="L18" t="inlineStr">
        <is>
          <t>yes</t>
        </is>
      </c>
    </row>
    <row r="19" ht="16.5" customHeight="1" s="31">
      <c r="E19" s="42" t="inlineStr">
        <is>
          <t xml:space="preserve">تفرجو فيه الفيديو طيارة ع اللخر </t>
        </is>
      </c>
      <c r="F19" t="inlineStr">
        <is>
          <t>tfarjo fih alvideo tayara alakhir</t>
        </is>
      </c>
      <c r="G19" t="inlineStr">
        <is>
          <t>tfarjo, tafarja, tfarja, fih, feh, alvideo, alvydeo, tayara, tayyara, alakhir, al7er</t>
        </is>
      </c>
      <c r="H19" t="inlineStr">
        <is>
          <t>simplify</t>
        </is>
      </c>
      <c r="I19" t="inlineStr">
        <is>
          <t>watch the video to the end</t>
        </is>
      </c>
      <c r="J19" t="inlineStr">
        <is>
          <t>regardez la vidéo jusqu'à la fin</t>
        </is>
      </c>
      <c r="K19" t="inlineStr">
        <is>
          <t>neutral</t>
        </is>
      </c>
      <c r="L19" t="inlineStr">
        <is>
          <t>yes</t>
        </is>
      </c>
    </row>
    <row r="20" ht="16.5" customHeight="1" s="31">
      <c r="E20" s="42" t="n"/>
    </row>
  </sheetData>
  <mergeCells count="1">
    <mergeCell ref="A1:L1"/>
  </mergeCells>
  <dataValidations count="5">
    <dataValidation sqref="B3:B1000" showDropDown="0" showInputMessage="0" showErrorMessage="0" allowBlank="1" type="list">
      <formula1>"Facebook,Reddit,YouTube,WhatsApp,Twitter,Manual"</formula1>
    </dataValidation>
    <dataValidation sqref="D3:D1000" showDropDown="0" showInputMessage="0" showErrorMessage="0" allowBlank="1" type="list">
      <formula1>"tech,finance,sports,health,education,politics,religion,daily_life,other"</formula1>
    </dataValidation>
    <dataValidation sqref="H3:H1000" showDropDown="0" showInputMessage="0" showErrorMessage="0" allowBlank="1" type="list">
      <formula1>"confusion,understood,half_understood,repeat,repeat_all,repeat_part,simplify,hallucination,wrong_answer,giving_up,impatience,pushback,encouragement,other"</formula1>
    </dataValidation>
    <dataValidation sqref="K3:K1000" showDropDown="0" showInputMessage="0" showErrorMessage="0" allowBlank="1" type="list">
      <formula1>"neutral,polite,confused,frustrated,aggressive,positive"</formula1>
    </dataValidation>
    <dataValidation sqref="L3:L1000" showDropDown="0" showInputMessage="0" showErrorMessage="0" allowBlank="1" type="list">
      <formula1>"yes,no,review"</formula1>
    </dataValidation>
  </dataValidations>
  <pageMargins left="0.75" right="0.75" top="1" bottom="1" header="0.5" footer="0.5"/>
</worksheet>
</file>

<file path=xl/worksheets/sheet2.xml><?xml version="1.0" encoding="utf-8"?>
<worksheet xmlns="http://schemas.openxmlformats.org/spreadsheetml/2006/main">
  <sheetPr>
    <tabColor rgb="FF0369A1"/>
    <outlinePr summaryBelow="1" summaryRight="1"/>
    <pageSetUpPr/>
  </sheetPr>
  <dimension ref="A1:J5"/>
  <sheetViews>
    <sheetView showGridLines="0" workbookViewId="0">
      <pane ySplit="2" topLeftCell="A3" activePane="bottomLeft" state="frozen"/>
      <selection pane="bottomLeft" activeCell="A1" sqref="A1"/>
    </sheetView>
  </sheetViews>
  <sheetFormatPr baseColWidth="10" defaultColWidth="9.140625" defaultRowHeight="15"/>
  <cols>
    <col width="10" customWidth="1" style="31" min="1" max="1"/>
    <col width="16" customWidth="1" style="31" min="2" max="2"/>
    <col width="18" customWidth="1" style="31" min="3" max="3"/>
    <col width="30" customWidth="1" style="31" min="4" max="4"/>
    <col width="38" customWidth="1" style="31" min="5" max="5"/>
    <col width="48" customWidth="1" style="31" min="6" max="6"/>
    <col width="20" customWidth="1" style="31" min="7" max="8"/>
    <col width="14" customWidth="1" style="31" min="9" max="9"/>
    <col width="12" customWidth="1" style="31" min="10" max="10"/>
  </cols>
  <sheetData>
    <row r="1" ht="30" customHeight="1" s="31">
      <c r="A1" s="32" t="inlineStr">
        <is>
          <t>🗣️  Full Conversation Threads — For RAG Training</t>
        </is>
      </c>
    </row>
    <row r="2" ht="21.95" customHeight="1" s="31">
      <c r="A2" s="6" t="inlineStr">
        <is>
          <t>thread_id</t>
        </is>
      </c>
      <c r="B2" s="6" t="inlineStr">
        <is>
          <t>subject</t>
        </is>
      </c>
      <c r="C2" s="6" t="inlineStr">
        <is>
          <t>source</t>
        </is>
      </c>
      <c r="D2" s="6" t="inlineStr">
        <is>
          <t>context</t>
        </is>
      </c>
      <c r="E2" s="6" t="inlineStr">
        <is>
          <t>user_question</t>
        </is>
      </c>
      <c r="F2" s="6" t="inlineStr">
        <is>
          <t>ideal_answer</t>
        </is>
      </c>
      <c r="G2" s="6" t="inlineStr">
        <is>
          <t>confirmation</t>
        </is>
      </c>
      <c r="H2" s="6" t="inlineStr">
        <is>
          <t>language_mix</t>
        </is>
      </c>
      <c r="I2" s="6" t="inlineStr">
        <is>
          <t>quality_score</t>
        </is>
      </c>
      <c r="J2" s="6" t="inlineStr">
        <is>
          <t>use_in_rag</t>
        </is>
      </c>
    </row>
    <row r="3" ht="54.95" customHeight="1" s="31">
      <c r="A3" s="2" t="inlineStr">
        <is>
          <t>T001</t>
        </is>
      </c>
      <c r="B3" s="2" t="inlineStr">
        <is>
          <t>tech</t>
        </is>
      </c>
      <c r="C3" s="3" t="inlineStr">
        <is>
          <t>Facebook/TunisianDevs</t>
        </is>
      </c>
      <c r="D3" s="3" t="inlineStr">
        <is>
          <t>Discussion about how wifi router works</t>
        </is>
      </c>
      <c r="E3" s="3" t="inlineStr">
        <is>
          <t>kifeh n3amel router mte3i ych5el mli7?</t>
        </is>
      </c>
      <c r="F3" s="3" t="inlineStr">
        <is>
          <t>5ou bch t3amel router lazem awel tchouf el channel li mch ma7shoch. 3awed el router w t3adel el settings mel interface. normalement 192.168.1.1 fi browser mte3k w tchouf el options.</t>
        </is>
      </c>
      <c r="G3" s="3" t="inlineStr">
        <is>
          <t>sa7it fhemtk merci</t>
        </is>
      </c>
      <c r="H3" s="2" t="inlineStr">
        <is>
          <t>darija_french</t>
        </is>
      </c>
      <c r="I3" s="2" t="inlineStr">
        <is>
          <t>5</t>
        </is>
      </c>
      <c r="J3" s="2" t="inlineStr">
        <is>
          <t>yes</t>
        </is>
      </c>
    </row>
    <row r="4" ht="54.95" customHeight="1" s="31">
      <c r="A4" s="4" t="inlineStr">
        <is>
          <t>T002</t>
        </is>
      </c>
      <c r="B4" s="4" t="inlineStr">
        <is>
          <t>health</t>
        </is>
      </c>
      <c r="C4" s="5" t="inlineStr">
        <is>
          <t>Facebook/HealthTN</t>
        </is>
      </c>
      <c r="D4" s="5" t="inlineStr">
        <is>
          <t>Someone asking about headache remedies</t>
        </is>
      </c>
      <c r="E4" s="5" t="inlineStr">
        <is>
          <t>3andi mal de tete barcha chnou na3mel?</t>
        </is>
      </c>
      <c r="F4" s="5" t="inlineStr">
        <is>
          <t>awel 7aja chreb ma bezzef. itha mch 3andek tension khelli rask fi calme w okhod doliprane wella paracetamol. itha dawam akthar men yom, rouh lel doctor.</t>
        </is>
      </c>
      <c r="G4" s="5" t="inlineStr">
        <is>
          <t>mrgl jawek behi</t>
        </is>
      </c>
      <c r="H4" s="4" t="inlineStr">
        <is>
          <t>darija_french</t>
        </is>
      </c>
      <c r="I4" s="4" t="inlineStr">
        <is>
          <t>4</t>
        </is>
      </c>
      <c r="J4" s="4" t="inlineStr">
        <is>
          <t>yes</t>
        </is>
      </c>
    </row>
    <row r="5" ht="54.95" customHeight="1" s="31">
      <c r="A5" s="2" t="inlineStr">
        <is>
          <t>T003</t>
        </is>
      </c>
      <c r="B5" s="2" t="inlineStr">
        <is>
          <t>finance</t>
        </is>
      </c>
      <c r="C5" s="3" t="inlineStr">
        <is>
          <t>Facebook/TunisianStartups</t>
        </is>
      </c>
      <c r="D5" s="3" t="inlineStr">
        <is>
          <t>Discussion about startup funding</t>
        </is>
      </c>
      <c r="E5" s="3" t="inlineStr">
        <is>
          <t>fech el farq bin bootstrap w funding?</t>
        </is>
      </c>
      <c r="F5" s="3" t="inlineStr">
        <is>
          <t>bootstrap ya3ni t3amel projet mte3k b flous mte3kinti. funding ya3ni t3addi 3la investors yhebbou yaamlou m3ak. bootstrap a7sen lel independence ama funding a7sen lel croissance sari3a.</t>
        </is>
      </c>
      <c r="G5" s="3" t="inlineStr">
        <is>
          <t>fhemtk sa7</t>
        </is>
      </c>
      <c r="H5" s="2" t="inlineStr">
        <is>
          <t>darija_french</t>
        </is>
      </c>
      <c r="I5" s="2" t="inlineStr">
        <is>
          <t>5</t>
        </is>
      </c>
      <c r="J5" s="2" t="inlineStr">
        <is>
          <t>yes</t>
        </is>
      </c>
    </row>
  </sheetData>
  <mergeCells count="1">
    <mergeCell ref="A1:J1"/>
  </mergeCells>
  <dataValidations count="3">
    <dataValidation sqref="H3:H1000" showDropDown="0" showInputMessage="0" showErrorMessage="0" allowBlank="1" type="list">
      <formula1>"darija_only,darija_french,darija_arabic,french,arabic,english,mixed"</formula1>
    </dataValidation>
    <dataValidation sqref="I3:I1000" showDropDown="0" showInputMessage="0" showErrorMessage="0" allowBlank="1" type="list">
      <formula1>"1,2,3,4,5"</formula1>
    </dataValidation>
    <dataValidation sqref="J3:J1000" showDropDown="0" showInputMessage="0" showErrorMessage="0" allowBlank="1" type="list">
      <formula1>"yes,no,review"</formula1>
    </dataValidation>
  </dataValidations>
  <pageMargins left="0.75" right="0.75" top="1" bottom="1" header="0.5" footer="0.5"/>
</worksheet>
</file>

<file path=xl/worksheets/sheet3.xml><?xml version="1.0" encoding="utf-8"?>
<worksheet xmlns="http://schemas.openxmlformats.org/spreadsheetml/2006/main">
  <sheetPr>
    <tabColor rgb="FF7C3AED"/>
    <outlinePr summaryBelow="1" summaryRight="1"/>
    <pageSetUpPr/>
  </sheetPr>
  <dimension ref="A1:G16"/>
  <sheetViews>
    <sheetView showGridLines="0" workbookViewId="0">
      <pane ySplit="2" topLeftCell="A3" activePane="bottomLeft" state="frozen"/>
      <selection pane="bottomLeft" activeCell="A1" sqref="A1"/>
    </sheetView>
  </sheetViews>
  <sheetFormatPr baseColWidth="10" defaultColWidth="9.140625" defaultRowHeight="15"/>
  <cols>
    <col width="18" customWidth="1" style="31" min="1" max="1"/>
    <col width="10" customWidth="1" style="31" min="2" max="2"/>
    <col width="25" customWidth="1" style="31" min="3" max="3"/>
    <col width="38" customWidth="1" style="31" min="4" max="5"/>
    <col width="40" customWidth="1" style="31" min="6" max="6"/>
    <col width="14" customWidth="1" style="31" min="7" max="7"/>
  </cols>
  <sheetData>
    <row r="1" ht="30" customHeight="1" s="31">
      <c r="A1" s="33" t="inlineStr">
        <is>
          <t>📖  Intent Signals Master Reference — Auto-loaded by utils.py</t>
        </is>
      </c>
    </row>
    <row r="2" ht="21.95" customHeight="1" s="31">
      <c r="A2" s="7" t="inlineStr">
        <is>
          <t>intent</t>
        </is>
      </c>
      <c r="B2" s="7" t="inlineStr">
        <is>
          <t>priority</t>
        </is>
      </c>
      <c r="C2" s="7" t="inlineStr">
        <is>
          <t>darija_arabizi</t>
        </is>
      </c>
      <c r="D2" s="7" t="inlineStr">
        <is>
          <t>variants</t>
        </is>
      </c>
      <c r="E2" s="7" t="inlineStr">
        <is>
          <t>normalized_keys</t>
        </is>
      </c>
      <c r="F2" s="7" t="inlineStr">
        <is>
          <t>action</t>
        </is>
      </c>
      <c r="G2" s="7" t="inlineStr">
        <is>
          <t>color_code</t>
        </is>
      </c>
    </row>
    <row r="3" ht="42" customHeight="1" s="31">
      <c r="A3" s="8" t="inlineStr">
        <is>
          <t>swear</t>
        </is>
      </c>
      <c r="B3" s="9" t="n">
        <v>1</v>
      </c>
      <c r="C3" s="10" t="inlineStr">
        <is>
          <t>—</t>
        </is>
      </c>
      <c r="D3" s="10" t="inlineStr">
        <is>
          <t>private list</t>
        </is>
      </c>
      <c r="E3" s="10" t="inlineStr">
        <is>
          <t>private</t>
        </is>
      </c>
      <c r="F3" s="10" t="inlineStr">
        <is>
          <t>10s timeout, strip from text, continue with cleaned input</t>
        </is>
      </c>
      <c r="G3" s="9" t="n"/>
    </row>
    <row r="4" ht="42" customHeight="1" s="31">
      <c r="A4" s="8" t="inlineStr">
        <is>
          <t>giving_up</t>
        </is>
      </c>
      <c r="B4" s="9" t="n">
        <v>2</v>
      </c>
      <c r="C4" s="10" t="inlineStr">
        <is>
          <t>ouh 3lik ouh, la3alayna ayy, ayast moi</t>
        </is>
      </c>
      <c r="D4" s="10" t="inlineStr">
        <is>
          <t>ou3lik, la3lina ay, la3leyna ayy, ayest, iyest</t>
        </is>
      </c>
      <c r="E4" s="10" t="inlineStr">
        <is>
          <t>ouh3lik, la3alayna, ayast, ayest, iyest</t>
        </is>
      </c>
      <c r="F4" s="10" t="inlineStr">
        <is>
          <t>Acknowledge + one final 2-sentence attempt</t>
        </is>
      </c>
      <c r="G4" s="9" t="n"/>
    </row>
    <row r="5" ht="42" customHeight="1" s="31">
      <c r="A5" s="8" t="inlineStr">
        <is>
          <t>hallucination</t>
        </is>
      </c>
      <c r="B5" s="9" t="n">
        <v>3</v>
      </c>
      <c r="C5" s="10" t="inlineStr">
        <is>
          <t>5arreeff, mouch hakka, heka mouch kk</t>
        </is>
      </c>
      <c r="D5" s="10" t="inlineStr">
        <is>
          <t>khareef, 5arif, kharif, mouchhaka, hekamouch</t>
        </is>
      </c>
      <c r="E5" s="10" t="inlineStr">
        <is>
          <t>5arreeff, khareef, mouchhakka, mouchhaka, hekamouch</t>
        </is>
      </c>
      <c r="F5" s="10" t="inlineStr">
        <is>
          <t>Apologize + return strictly to original question</t>
        </is>
      </c>
      <c r="G5" s="9" t="n"/>
    </row>
    <row r="6" ht="42" customHeight="1" s="31">
      <c r="A6" s="11" t="inlineStr">
        <is>
          <t>wrong_answer</t>
        </is>
      </c>
      <c r="B6" s="12" t="n">
        <v>4</v>
      </c>
      <c r="C6" s="13" t="inlineStr">
        <is>
          <t>mouch hakka, mouch kk</t>
        </is>
      </c>
      <c r="D6" s="13" t="inlineStr">
        <is>
          <t>mouchhaka, moch kk, mch kk</t>
        </is>
      </c>
      <c r="E6" s="13" t="inlineStr">
        <is>
          <t>mouchhakka, mouchhaka, mochkk, mchkk</t>
        </is>
      </c>
      <c r="F6" s="13" t="inlineStr">
        <is>
          <t>Re-read context carefully and retry</t>
        </is>
      </c>
      <c r="G6" s="12" t="n"/>
    </row>
    <row r="7" ht="42" customHeight="1" s="31">
      <c r="A7" s="11" t="inlineStr">
        <is>
          <t>confusion</t>
        </is>
      </c>
      <c r="B7" s="12" t="n">
        <v>5</v>
      </c>
      <c r="C7" s="13" t="inlineStr">
        <is>
          <t>mafhemt chy, chnoa, zid fahamni, zid fassarly, naarech, ya5i fech te7ki, bjaah rabby fech te7ki, yaa wildii</t>
        </is>
      </c>
      <c r="D7" s="13" t="inlineStr">
        <is>
          <t>mafhamtch, chnou, shnou, zid fehamni, zid fhamni, ya khi fech te7ki</t>
        </is>
      </c>
      <c r="E7" s="13" t="inlineStr">
        <is>
          <t>mafhemtchy, mafhemtch, chnoa, chnou, zidfahamni, zidfassarly, naarech, ya5ifech, bjaahrabbyfech, yawildii</t>
        </is>
      </c>
      <c r="F7" s="13" t="inlineStr">
        <is>
          <t>Ask for confirmation + offer to reformulate</t>
        </is>
      </c>
      <c r="G7" s="12" t="n"/>
    </row>
    <row r="8" ht="42" customHeight="1" s="31">
      <c r="A8" s="11" t="inlineStr">
        <is>
          <t>half_understood</t>
        </is>
      </c>
      <c r="B8" s="12" t="n">
        <v>6</v>
      </c>
      <c r="C8" s="13" t="inlineStr">
        <is>
          <t>fhemt ama mouch barcha, mafhemtch mli7</t>
        </is>
      </c>
      <c r="D8" s="13" t="inlineStr">
        <is>
          <t>fhamt ama moch barcha, mafhamt mli7, mafhamtch mli7</t>
        </is>
      </c>
      <c r="E8" s="13" t="inlineStr">
        <is>
          <t>fhemtamamouch, mafhemtchmli7, mafhamt</t>
        </is>
      </c>
      <c r="F8" s="13" t="inlineStr">
        <is>
          <t>Ask what specific part was unclear + clarify</t>
        </is>
      </c>
      <c r="G8" s="12" t="n"/>
    </row>
    <row r="9" ht="42" customHeight="1" s="31">
      <c r="A9" s="14" t="inlineStr">
        <is>
          <t>simplify</t>
        </is>
      </c>
      <c r="B9" s="15" t="n">
        <v>7</v>
      </c>
      <c r="C9" s="16" t="inlineStr">
        <is>
          <t>a3tini example, het example, fassarly bisyassa</t>
        </is>
      </c>
      <c r="D9" s="16" t="inlineStr">
        <is>
          <t>a3tini mithal, hett mithal, fesarly bisyassa</t>
        </is>
      </c>
      <c r="E9" s="16" t="inlineStr">
        <is>
          <t>a3tiniexample, hetexample, a3tinimithal, fassarlybisyassa</t>
        </is>
      </c>
      <c r="F9" s="16" t="inlineStr">
        <is>
          <t>Re-explain using a concrete real-world example</t>
        </is>
      </c>
      <c r="G9" s="15" t="n"/>
    </row>
    <row r="10" ht="42" customHeight="1" s="31">
      <c r="A10" s="14" t="inlineStr">
        <is>
          <t>repeat_all</t>
        </is>
      </c>
      <c r="B10" s="15" t="n">
        <v>8</v>
      </c>
      <c r="C10" s="16" t="inlineStr">
        <is>
          <t>3awed miloul, 3awed meloul</t>
        </is>
      </c>
      <c r="D10" s="16" t="inlineStr">
        <is>
          <t>aawed miloul, 3aoud miloul</t>
        </is>
      </c>
      <c r="E10" s="16" t="inlineStr">
        <is>
          <t>3awedmiloul, 3awedmeloul, aawedmiloul</t>
        </is>
      </c>
      <c r="F10" s="16" t="inlineStr">
        <is>
          <t>Repeat full answer from the beginning</t>
        </is>
      </c>
      <c r="G10" s="15" t="n"/>
    </row>
    <row r="11" ht="42" customHeight="1" s="31">
      <c r="A11" s="14" t="inlineStr">
        <is>
          <t>repeat_part</t>
        </is>
      </c>
      <c r="B11" s="15" t="n">
        <v>9</v>
      </c>
      <c r="C11" s="16" t="inlineStr">
        <is>
          <t>lfaza le5ra, 3awidly lfaza hethi</t>
        </is>
      </c>
      <c r="D11" s="16" t="inlineStr">
        <is>
          <t>lfaza lakhira, 3awidly hathi, 3awedly hethi</t>
        </is>
      </c>
      <c r="E11" s="16" t="inlineStr">
        <is>
          <t>lfazale5ra, lfazalakhira, 3awidlylfaza, 3awedlyhathi</t>
        </is>
      </c>
      <c r="F11" s="16" t="inlineStr">
        <is>
          <t>Repeat only the last paragraph/sentence</t>
        </is>
      </c>
      <c r="G11" s="15" t="n"/>
    </row>
    <row r="12" ht="42" customHeight="1" s="31">
      <c r="A12" s="14" t="inlineStr">
        <is>
          <t>repeat</t>
        </is>
      </c>
      <c r="B12" s="15" t="n">
        <v>10</v>
      </c>
      <c r="C12" s="16" t="inlineStr">
        <is>
          <t>3awidly, awidly, awedly</t>
        </is>
      </c>
      <c r="D12" s="16" t="inlineStr">
        <is>
          <t>3awedly, 3awidli, awidli</t>
        </is>
      </c>
      <c r="E12" s="16" t="inlineStr">
        <is>
          <t>3awidly, awidly, awedly, 3awedly</t>
        </is>
      </c>
      <c r="F12" s="16" t="inlineStr">
        <is>
          <t>Repeat previous full answer</t>
        </is>
      </c>
      <c r="G12" s="15" t="n"/>
    </row>
    <row r="13" ht="42" customHeight="1" s="31">
      <c r="A13" s="17" t="inlineStr">
        <is>
          <t>impatience</t>
        </is>
      </c>
      <c r="B13" s="18" t="n">
        <v>11</v>
      </c>
      <c r="C13" s="19" t="inlineStr">
        <is>
          <t>na9is mil7dith, fassarly bisyassa</t>
        </is>
      </c>
      <c r="D13" s="19" t="inlineStr">
        <is>
          <t>na9es mel7dith, na9es mel hdith</t>
        </is>
      </c>
      <c r="E13" s="19" t="inlineStr">
        <is>
          <t>na9ismil7dith, na9esmel7dith</t>
        </is>
      </c>
      <c r="F13" s="19" t="inlineStr">
        <is>
          <t>Maximum 2 sentences, direct and to the point</t>
        </is>
      </c>
      <c r="G13" s="18" t="n"/>
    </row>
    <row r="14" ht="42" customHeight="1" s="31">
      <c r="A14" s="20" t="inlineStr">
        <is>
          <t>understood</t>
        </is>
      </c>
      <c r="B14" s="21" t="n">
        <v>12</v>
      </c>
      <c r="C14" s="22" t="inlineStr">
        <is>
          <t>haaannnnnn, fhemtk, nfhem fik, mrgl, jawek behi, sa7it</t>
        </is>
      </c>
      <c r="D14" s="22" t="inlineStr">
        <is>
          <t>hannn, fhamtk, fhimtk, nefhem fik, nifhem fik, mrigl, mregl, jawk bhi, sa7et, sa7</t>
        </is>
      </c>
      <c r="E14" s="22" t="inlineStr">
        <is>
          <t>haann, fhemtk, fhamtk, nfhemfik, mrgl, mrigl, jawekbehi, sa7it, sa7et</t>
        </is>
      </c>
      <c r="F14" s="22" t="inlineStr">
        <is>
          <t>Proceed normally — do NOT reformulate</t>
        </is>
      </c>
      <c r="G14" s="21" t="n"/>
    </row>
    <row r="15" ht="42" customHeight="1" s="31">
      <c r="A15" s="17" t="inlineStr">
        <is>
          <t>pushback</t>
        </is>
      </c>
      <c r="B15" s="18" t="n">
        <v>13</v>
      </c>
      <c r="C15" s="19" t="inlineStr">
        <is>
          <t>ama, mouch kk</t>
        </is>
      </c>
      <c r="D15" s="19" t="inlineStr">
        <is>
          <t>amma, moch kk, mch kk</t>
        </is>
      </c>
      <c r="E15" s="19" t="inlineStr">
        <is>
          <t>ama, amma, mouchkk, mochkk</t>
        </is>
      </c>
      <c r="F15" s="19" t="inlineStr">
        <is>
          <t>Acknowledge pushback + address specific disagreement</t>
        </is>
      </c>
      <c r="G15" s="18" t="n"/>
    </row>
    <row r="16" ht="42" customHeight="1" s="31">
      <c r="A16" s="23" t="inlineStr">
        <is>
          <t>none</t>
        </is>
      </c>
      <c r="B16" s="24" t="n">
        <v>14</v>
      </c>
      <c r="C16" s="25" t="inlineStr">
        <is>
          <t>—</t>
        </is>
      </c>
      <c r="D16" s="25" t="inlineStr">
        <is>
          <t>—</t>
        </is>
      </c>
      <c r="E16" s="25" t="inlineStr">
        <is>
          <t>—</t>
        </is>
      </c>
      <c r="F16" s="25" t="inlineStr">
        <is>
          <t>No modification — proceed normally</t>
        </is>
      </c>
      <c r="G16" s="24" t="n"/>
    </row>
  </sheetData>
  <mergeCells count="1">
    <mergeCell ref="A1:G1"/>
  </mergeCells>
  <pageMargins left="0.75" right="0.75" top="1" bottom="1" header="0.5" footer="0.5"/>
</worksheet>
</file>

<file path=xl/worksheets/sheet4.xml><?xml version="1.0" encoding="utf-8"?>
<worksheet xmlns="http://schemas.openxmlformats.org/spreadsheetml/2006/main">
  <sheetPr>
    <tabColor rgb="FF16A34A"/>
    <outlinePr summaryBelow="1" summaryRight="1"/>
    <pageSetUpPr/>
  </sheetPr>
  <dimension ref="A1:C4"/>
  <sheetViews>
    <sheetView showGridLines="0" workbookViewId="0">
      <selection activeCell="A1" sqref="A1"/>
    </sheetView>
  </sheetViews>
  <sheetFormatPr baseColWidth="10" defaultColWidth="9.140625" defaultRowHeight="15"/>
  <cols>
    <col width="70" customWidth="1" style="31" min="1" max="1"/>
    <col width="35" customWidth="1" style="31" min="2" max="2"/>
    <col width="30" customWidth="1" style="31" min="3" max="3"/>
  </cols>
  <sheetData>
    <row r="1" ht="30" customHeight="1" s="31">
      <c r="A1" s="34" t="inlineStr">
        <is>
          <t>⚙️  Export Preview — This is how your data will look in ChromaDB</t>
        </is>
      </c>
    </row>
    <row r="2" ht="21.95" customHeight="1" s="31">
      <c r="A2" s="26" t="inlineStr">
        <is>
          <t>chunk_text</t>
        </is>
      </c>
      <c r="B2" s="26" t="inlineStr">
        <is>
          <t>metadata</t>
        </is>
      </c>
      <c r="C2" s="26" t="inlineStr">
        <is>
          <t>notes</t>
        </is>
      </c>
    </row>
    <row r="3" ht="69.95" customHeight="1" s="31">
      <c r="A3" s="3" t="inlineStr">
        <is>
          <t>[INTENT: confusion] User: "mafhemt chy zid fahamni"
Action: Reformulate more simply.
Variants: mafhamtch, mafhemtch, zid fehamni
English: I didn't understand, explain more</t>
        </is>
      </c>
      <c r="B3" s="3" t="inlineStr">
        <is>
          <t>{"source": "darija_guide", "intent": "confusion", "aggression": "neutral", "validated": true}</t>
        </is>
      </c>
      <c r="C3" s="3" t="inlineStr">
        <is>
          <t>From Intent Signals sheet row 5</t>
        </is>
      </c>
    </row>
    <row r="4" ht="69.95" customHeight="1" s="31">
      <c r="A4" s="5" t="inlineStr">
        <is>
          <t>[VALIDATED EXCHANGE — tech]
User: kifeh n3amel router mte3i?
Assistant: 5ou bch t3amel router lazem awel tchouf el channel li mch ma7shoch...
Confirmation: sa7it fhemtk</t>
        </is>
      </c>
      <c r="B4" s="5" t="inlineStr">
        <is>
          <t>{"source": "feedback_loop", "type": "validated_exchange", "subject": "tech", "quality": 5}</t>
        </is>
      </c>
      <c r="C4" s="5" t="inlineStr">
        <is>
          <t>From Conversation Threads sheet</t>
        </is>
      </c>
    </row>
  </sheetData>
  <mergeCells count="1">
    <mergeCell ref="A1:C1"/>
  </mergeCells>
  <pageMargins left="0.75" right="0.75" top="1" bottom="1" header="0.5" footer="0.5"/>
</worksheet>
</file>

<file path=xl/worksheets/sheet5.xml><?xml version="1.0" encoding="utf-8"?>
<worksheet xmlns="http://schemas.openxmlformats.org/spreadsheetml/2006/main">
  <sheetPr>
    <tabColor rgb="FFD97706"/>
    <outlinePr summaryBelow="1" summaryRight="1"/>
    <pageSetUpPr/>
  </sheetPr>
  <dimension ref="A1:D16"/>
  <sheetViews>
    <sheetView showGridLines="0" workbookViewId="0">
      <selection activeCell="A1" sqref="A1"/>
    </sheetView>
  </sheetViews>
  <sheetFormatPr baseColWidth="10" defaultColWidth="9.140625" defaultRowHeight="15"/>
  <cols>
    <col width="22" customWidth="1" style="31" min="1" max="1"/>
    <col width="14" customWidth="1" style="31" min="2" max="2"/>
    <col width="12" customWidth="1" style="31" min="3" max="3"/>
    <col width="14" customWidth="1" style="31" min="4" max="4"/>
  </cols>
  <sheetData>
    <row r="1" ht="30" customHeight="1" s="31">
      <c r="A1" s="30" t="inlineStr">
        <is>
          <t>📊  Collection Progress Dashboard</t>
        </is>
      </c>
    </row>
    <row r="2">
      <c r="A2" s="1" t="inlineStr">
        <is>
          <t>intent_category</t>
        </is>
      </c>
      <c r="B2" s="1" t="inlineStr">
        <is>
          <t>collected</t>
        </is>
      </c>
      <c r="C2" s="1" t="inlineStr">
        <is>
          <t>target</t>
        </is>
      </c>
      <c r="D2" s="1" t="inlineStr">
        <is>
          <t>status</t>
        </is>
      </c>
    </row>
    <row r="3">
      <c r="A3" s="27" t="inlineStr">
        <is>
          <t>confusion</t>
        </is>
      </c>
      <c r="B3" s="2">
        <f>COUNTIF('Raw Collection'!H:H,A3)</f>
        <v/>
      </c>
      <c r="C3" s="2" t="n">
        <v>50</v>
      </c>
      <c r="D3" s="2">
        <f>IF(B3&gt;=C3,"✅ Done",IF(B3&gt;=C3*0.5,"🔶 Halfway","⬜ Needed"))</f>
        <v/>
      </c>
    </row>
    <row r="4">
      <c r="A4" s="28" t="inlineStr">
        <is>
          <t>understood</t>
        </is>
      </c>
      <c r="B4" s="4">
        <f>COUNTIF('Raw Collection'!H:H,A4)</f>
        <v/>
      </c>
      <c r="C4" s="4" t="n">
        <v>50</v>
      </c>
      <c r="D4" s="4">
        <f>IF(B4&gt;=C4,"✅ Done",IF(B4&gt;=C4*0.5,"🔶 Halfway","⬜ Needed"))</f>
        <v/>
      </c>
    </row>
    <row r="5">
      <c r="A5" s="27" t="inlineStr">
        <is>
          <t>half_understood</t>
        </is>
      </c>
      <c r="B5" s="2">
        <f>COUNTIF('Raw Collection'!H:H,A5)</f>
        <v/>
      </c>
      <c r="C5" s="2" t="n">
        <v>30</v>
      </c>
      <c r="D5" s="2">
        <f>IF(B5&gt;=C5,"✅ Done",IF(B5&gt;=C5*0.5,"🔶 Halfway","⬜ Needed"))</f>
        <v/>
      </c>
    </row>
    <row r="6">
      <c r="A6" s="28" t="inlineStr">
        <is>
          <t>repeat</t>
        </is>
      </c>
      <c r="B6" s="4">
        <f>COUNTIF('Raw Collection'!H:H,A6)</f>
        <v/>
      </c>
      <c r="C6" s="4" t="n">
        <v>30</v>
      </c>
      <c r="D6" s="4">
        <f>IF(B6&gt;=C6,"✅ Done",IF(B6&gt;=C6*0.5,"🔶 Halfway","⬜ Needed"))</f>
        <v/>
      </c>
    </row>
    <row r="7">
      <c r="A7" s="27" t="inlineStr">
        <is>
          <t>repeat_all</t>
        </is>
      </c>
      <c r="B7" s="2">
        <f>COUNTIF('Raw Collection'!H:H,A7)</f>
        <v/>
      </c>
      <c r="C7" s="2" t="n">
        <v>20</v>
      </c>
      <c r="D7" s="2">
        <f>IF(B7&gt;=C7,"✅ Done",IF(B7&gt;=C7*0.5,"🔶 Halfway","⬜ Needed"))</f>
        <v/>
      </c>
    </row>
    <row r="8">
      <c r="A8" s="28" t="inlineStr">
        <is>
          <t>repeat_part</t>
        </is>
      </c>
      <c r="B8" s="4">
        <f>COUNTIF('Raw Collection'!H:H,A8)</f>
        <v/>
      </c>
      <c r="C8" s="4" t="n">
        <v>20</v>
      </c>
      <c r="D8" s="4">
        <f>IF(B8&gt;=C8,"✅ Done",IF(B8&gt;=C8*0.5,"🔶 Halfway","⬜ Needed"))</f>
        <v/>
      </c>
    </row>
    <row r="9">
      <c r="A9" s="27" t="inlineStr">
        <is>
          <t>simplify</t>
        </is>
      </c>
      <c r="B9" s="2">
        <f>COUNTIF('Raw Collection'!H:H,A9)</f>
        <v/>
      </c>
      <c r="C9" s="2" t="n">
        <v>30</v>
      </c>
      <c r="D9" s="2">
        <f>IF(B9&gt;=C9,"✅ Done",IF(B9&gt;=C9*0.5,"🔶 Halfway","⬜ Needed"))</f>
        <v/>
      </c>
    </row>
    <row r="10">
      <c r="A10" s="28" t="inlineStr">
        <is>
          <t>hallucination</t>
        </is>
      </c>
      <c r="B10" s="4">
        <f>COUNTIF('Raw Collection'!H:H,A10)</f>
        <v/>
      </c>
      <c r="C10" s="4" t="n">
        <v>30</v>
      </c>
      <c r="D10" s="4">
        <f>IF(B10&gt;=C10,"✅ Done",IF(B10&gt;=C10*0.5,"🔶 Halfway","⬜ Needed"))</f>
        <v/>
      </c>
    </row>
    <row r="11">
      <c r="A11" s="27" t="inlineStr">
        <is>
          <t>wrong_answer</t>
        </is>
      </c>
      <c r="B11" s="2">
        <f>COUNTIF('Raw Collection'!H:H,A11)</f>
        <v/>
      </c>
      <c r="C11" s="2" t="n">
        <v>30</v>
      </c>
      <c r="D11" s="2">
        <f>IF(B11&gt;=C11,"✅ Done",IF(B11&gt;=C11*0.5,"🔶 Halfway","⬜ Needed"))</f>
        <v/>
      </c>
    </row>
    <row r="12">
      <c r="A12" s="28" t="inlineStr">
        <is>
          <t>giving_up</t>
        </is>
      </c>
      <c r="B12" s="4">
        <f>COUNTIF('Raw Collection'!H:H,A12)</f>
        <v/>
      </c>
      <c r="C12" s="4" t="n">
        <v>20</v>
      </c>
      <c r="D12" s="4">
        <f>IF(B12&gt;=C12,"✅ Done",IF(B12&gt;=C12*0.5,"🔶 Halfway","⬜ Needed"))</f>
        <v/>
      </c>
    </row>
    <row r="13">
      <c r="A13" s="27" t="inlineStr">
        <is>
          <t>impatience</t>
        </is>
      </c>
      <c r="B13" s="2">
        <f>COUNTIF('Raw Collection'!H:H,A13)</f>
        <v/>
      </c>
      <c r="C13" s="2" t="n">
        <v>20</v>
      </c>
      <c r="D13" s="2">
        <f>IF(B13&gt;=C13,"✅ Done",IF(B13&gt;=C13*0.5,"🔶 Halfway","⬜ Needed"))</f>
        <v/>
      </c>
    </row>
    <row r="14">
      <c r="A14" s="28" t="inlineStr">
        <is>
          <t>pushback</t>
        </is>
      </c>
      <c r="B14" s="4">
        <f>COUNTIF('Raw Collection'!H:H,A14)</f>
        <v/>
      </c>
      <c r="C14" s="4" t="n">
        <v>20</v>
      </c>
      <c r="D14" s="4">
        <f>IF(B14&gt;=C14,"✅ Done",IF(B14&gt;=C14*0.5,"🔶 Halfway","⬜ Needed"))</f>
        <v/>
      </c>
    </row>
    <row r="15">
      <c r="A15" s="27" t="inlineStr">
        <is>
          <t>encouragement</t>
        </is>
      </c>
      <c r="B15" s="2">
        <f>COUNTIF('Raw Collection'!H:H,A15)</f>
        <v/>
      </c>
      <c r="C15" s="2" t="n">
        <v>30</v>
      </c>
      <c r="D15" s="2">
        <f>IF(B15&gt;=C15,"✅ Done",IF(B15&gt;=C15*0.5,"🔶 Halfway","⬜ Needed"))</f>
        <v/>
      </c>
    </row>
    <row r="16">
      <c r="A16" s="29" t="inlineStr">
        <is>
          <t>TOTAL</t>
        </is>
      </c>
      <c r="B16" s="29">
        <f>SUM(B3:B15)</f>
        <v/>
      </c>
      <c r="C16" s="29">
        <f>SUM(C3:C15)</f>
        <v/>
      </c>
      <c r="D16" s="29">
        <f>IF(B16&gt;=C16,"✅ Complete","⬜ In Progress")</f>
        <v/>
      </c>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2026-05-07T11:17:22Z</dcterms:created>
  <dcterms:modified xsi:type="dcterms:W3CDTF">2026-05-07T12:54:10Z</dcterms:modified>
  <cp:lastModifiedBy>elaa abidi</cp:lastModifiedBy>
</cp:coreProperties>
</file>